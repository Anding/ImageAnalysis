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ding\ImageAnalysis\"/>
    </mc:Choice>
  </mc:AlternateContent>
  <xr:revisionPtr revIDLastSave="0" documentId="13_ncr:1_{380FCB6C-7B40-4150-9255-23223807AEA3}" xr6:coauthVersionLast="47" xr6:coauthVersionMax="47" xr10:uidLastSave="{00000000-0000-0000-0000-000000000000}"/>
  <bookViews>
    <workbookView xWindow="-120" yWindow="-120" windowWidth="29040" windowHeight="17520" xr2:uid="{E7C54588-07C4-4C04-BD7A-4BE7AE4F5BB7}"/>
  </bookViews>
  <sheets>
    <sheet name="display" sheetId="4" r:id="rId1"/>
    <sheet name="image_parameters" sheetId="3" r:id="rId2"/>
    <sheet name="CLIP" sheetId="1" r:id="rId3"/>
    <sheet name="MID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4" l="1"/>
  <c r="A3" i="1" s="1"/>
  <c r="B3" i="4"/>
  <c r="A3" i="4" s="1"/>
  <c r="A4" i="1" s="1"/>
  <c r="B5" i="2"/>
  <c r="B6" i="2"/>
  <c r="B7" i="2"/>
  <c r="B8" i="2"/>
  <c r="B9" i="2"/>
  <c r="B10" i="2"/>
  <c r="B11" i="2"/>
  <c r="B12" i="2"/>
  <c r="B4" i="2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C3" i="1"/>
  <c r="B3" i="1"/>
  <c r="B2" i="3"/>
  <c r="B3" i="3" s="1"/>
  <c r="D3" i="3" s="1"/>
  <c r="B1" i="3"/>
  <c r="D4" i="3"/>
  <c r="D5" i="3"/>
  <c r="A3" i="2"/>
  <c r="B2" i="2"/>
  <c r="F2" i="1"/>
  <c r="E2" i="1"/>
  <c r="D2" i="1"/>
  <c r="B4" i="4" l="1"/>
  <c r="E3" i="2"/>
  <c r="C3" i="2"/>
  <c r="G2" i="1"/>
  <c r="B6" i="3"/>
  <c r="B5" i="4" l="1"/>
  <c r="A4" i="4"/>
  <c r="A5" i="1" s="1"/>
  <c r="B8" i="3"/>
  <c r="B7" i="3"/>
  <c r="D6" i="3"/>
  <c r="B6" i="4" l="1"/>
  <c r="A5" i="4"/>
  <c r="A6" i="1" s="1"/>
  <c r="E6" i="1" s="1"/>
  <c r="D7" i="3"/>
  <c r="D8" i="3"/>
  <c r="E3" i="1"/>
  <c r="B9" i="3"/>
  <c r="B7" i="4" l="1"/>
  <c r="A6" i="4"/>
  <c r="A7" i="1" s="1"/>
  <c r="D7" i="1"/>
  <c r="E7" i="1"/>
  <c r="F7" i="1"/>
  <c r="E4" i="1"/>
  <c r="D4" i="1"/>
  <c r="G4" i="1" s="1"/>
  <c r="F4" i="1"/>
  <c r="D3" i="1"/>
  <c r="G3" i="1" s="1"/>
  <c r="F3" i="1"/>
  <c r="A2" i="2"/>
  <c r="D9" i="3"/>
  <c r="B3" i="2"/>
  <c r="B8" i="4" l="1"/>
  <c r="A7" i="4"/>
  <c r="A8" i="1" s="1"/>
  <c r="D2" i="4"/>
  <c r="E2" i="4" s="1"/>
  <c r="A4" i="2"/>
  <c r="D3" i="4"/>
  <c r="E3" i="4" s="1"/>
  <c r="A5" i="2"/>
  <c r="G7" i="1"/>
  <c r="E8" i="1"/>
  <c r="D8" i="1"/>
  <c r="F8" i="1"/>
  <c r="D5" i="1"/>
  <c r="D3" i="2"/>
  <c r="F3" i="2"/>
  <c r="D2" i="2"/>
  <c r="C2" i="2"/>
  <c r="F2" i="2"/>
  <c r="E2" i="2"/>
  <c r="G8" i="1" l="1"/>
  <c r="B9" i="4"/>
  <c r="A8" i="4"/>
  <c r="A9" i="1" s="1"/>
  <c r="F9" i="1"/>
  <c r="D9" i="1"/>
  <c r="E9" i="1"/>
  <c r="D7" i="4"/>
  <c r="E7" i="4" s="1"/>
  <c r="A9" i="2"/>
  <c r="C5" i="2"/>
  <c r="G5" i="2" s="1"/>
  <c r="G3" i="4" s="1"/>
  <c r="H3" i="4" s="1"/>
  <c r="E5" i="2"/>
  <c r="F5" i="2"/>
  <c r="D5" i="2"/>
  <c r="A8" i="2"/>
  <c r="D6" i="4"/>
  <c r="E6" i="4" s="1"/>
  <c r="E4" i="2"/>
  <c r="D4" i="2"/>
  <c r="F4" i="2"/>
  <c r="C4" i="2"/>
  <c r="G4" i="2" s="1"/>
  <c r="G2" i="4" s="1"/>
  <c r="H2" i="4" s="1"/>
  <c r="G2" i="2"/>
  <c r="G3" i="2"/>
  <c r="B10" i="3" s="1"/>
  <c r="A9" i="4" l="1"/>
  <c r="A10" i="1" s="1"/>
  <c r="B10" i="4"/>
  <c r="A10" i="4" s="1"/>
  <c r="A11" i="1" s="1"/>
  <c r="D10" i="1"/>
  <c r="E10" i="1"/>
  <c r="F10" i="1"/>
  <c r="F11" i="1"/>
  <c r="D11" i="1"/>
  <c r="E11" i="1"/>
  <c r="D8" i="2"/>
  <c r="E8" i="2"/>
  <c r="F8" i="2"/>
  <c r="C8" i="2"/>
  <c r="F9" i="2"/>
  <c r="E9" i="2"/>
  <c r="C9" i="2"/>
  <c r="D9" i="2"/>
  <c r="G9" i="1"/>
  <c r="D10" i="3"/>
  <c r="G8" i="2" l="1"/>
  <c r="G6" i="4" s="1"/>
  <c r="H6" i="4" s="1"/>
  <c r="D8" i="4"/>
  <c r="E8" i="4" s="1"/>
  <c r="A10" i="2"/>
  <c r="G9" i="2"/>
  <c r="G7" i="4" s="1"/>
  <c r="H7" i="4" s="1"/>
  <c r="G11" i="1"/>
  <c r="G10" i="1"/>
  <c r="E5" i="1"/>
  <c r="F5" i="1"/>
  <c r="D6" i="1"/>
  <c r="F6" i="1"/>
  <c r="D9" i="4" l="1"/>
  <c r="E9" i="4" s="1"/>
  <c r="A11" i="2"/>
  <c r="D10" i="4"/>
  <c r="E10" i="4" s="1"/>
  <c r="A12" i="2"/>
  <c r="C10" i="2"/>
  <c r="E10" i="2"/>
  <c r="F10" i="2"/>
  <c r="D10" i="2"/>
  <c r="G6" i="1"/>
  <c r="G5" i="1"/>
  <c r="D4" i="4" l="1"/>
  <c r="E4" i="4" s="1"/>
  <c r="A6" i="2"/>
  <c r="G10" i="2"/>
  <c r="G8" i="4" s="1"/>
  <c r="H8" i="4" s="1"/>
  <c r="C12" i="2"/>
  <c r="D12" i="2"/>
  <c r="E12" i="2"/>
  <c r="F12" i="2"/>
  <c r="D11" i="2"/>
  <c r="E11" i="2"/>
  <c r="F11" i="2"/>
  <c r="C11" i="2"/>
  <c r="G11" i="2" s="1"/>
  <c r="G9" i="4" s="1"/>
  <c r="H9" i="4" s="1"/>
  <c r="D5" i="4"/>
  <c r="E5" i="4" s="1"/>
  <c r="A7" i="2"/>
  <c r="C7" i="2" l="1"/>
  <c r="D7" i="2"/>
  <c r="F7" i="2"/>
  <c r="E7" i="2"/>
  <c r="G12" i="2"/>
  <c r="G10" i="4" s="1"/>
  <c r="H10" i="4" s="1"/>
  <c r="D6" i="2"/>
  <c r="F6" i="2"/>
  <c r="C6" i="2"/>
  <c r="E6" i="2"/>
  <c r="G6" i="2" l="1"/>
  <c r="G4" i="4" s="1"/>
  <c r="H4" i="4" s="1"/>
  <c r="G7" i="2"/>
  <c r="G5" i="4" s="1"/>
  <c r="H5" i="4" s="1"/>
</calcChain>
</file>

<file path=xl/sharedStrings.xml><?xml version="1.0" encoding="utf-8"?>
<sst xmlns="http://schemas.openxmlformats.org/spreadsheetml/2006/main" count="27" uniqueCount="22">
  <si>
    <t>x</t>
  </si>
  <si>
    <t>s</t>
  </si>
  <si>
    <t>h</t>
  </si>
  <si>
    <t>x&lt;s?</t>
  </si>
  <si>
    <t>x&gt;h?</t>
  </si>
  <si>
    <t>(x-s)/(h-s)</t>
  </si>
  <si>
    <t>CLIP</t>
  </si>
  <si>
    <t>m</t>
  </si>
  <si>
    <t>x=0</t>
  </si>
  <si>
    <t>x=m</t>
  </si>
  <si>
    <t>x=1</t>
  </si>
  <si>
    <t>((m-1)*x)/((2m-1)*x-m)</t>
  </si>
  <si>
    <t>MID</t>
  </si>
  <si>
    <t>M</t>
  </si>
  <si>
    <t>MADN</t>
  </si>
  <si>
    <t>MAD</t>
  </si>
  <si>
    <t>a</t>
  </si>
  <si>
    <t>B</t>
  </si>
  <si>
    <t>C</t>
  </si>
  <si>
    <t>t</t>
  </si>
  <si>
    <t>xm</t>
  </si>
  <si>
    <t>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</si>
</sst>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"/>
    <numFmt numFmtId="166" formatCode="0.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/>
    <xf numFmtId="164" fontId="0" fillId="0" borderId="0" xfId="0" applyNumberFormat="1"/>
    <xf numFmtId="0" fontId="0" fillId="0" borderId="0" xfId="1" applyNumberFormat="1" applyFont="1"/>
    <xf numFmtId="0" fontId="0" fillId="2" borderId="0" xfId="1" applyNumberFormat="1" applyFont="1" applyFill="1"/>
    <xf numFmtId="166" fontId="0" fillId="0" borderId="0" xfId="0" applyNumberFormat="1"/>
    <xf numFmtId="0" fontId="3" fillId="0" borderId="0" xfId="0" applyFont="1"/>
    <xf numFmtId="166" fontId="3" fillId="0" borderId="0" xfId="0" applyNumberFormat="1" applyFont="1"/>
    <xf numFmtId="0" fontId="0" fillId="2" borderId="0" xfId="0" applyFill="1"/>
    <xf numFmtId="0" fontId="0" fillId="3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3A575-463D-40EB-AB6D-ED98C7606E7C}">
  <dimension ref="A1:H10"/>
  <sheetViews>
    <sheetView tabSelected="1" workbookViewId="0">
      <selection activeCell="J16" sqref="J16"/>
    </sheetView>
  </sheetViews>
  <sheetFormatPr defaultRowHeight="15" x14ac:dyDescent="0.25"/>
  <cols>
    <col min="7" max="7" width="9.5703125" bestFit="1" customWidth="1"/>
    <col min="8" max="8" width="10" customWidth="1"/>
  </cols>
  <sheetData>
    <row r="1" spans="1:8" s="2" customFormat="1" x14ac:dyDescent="0.25">
      <c r="A1" s="1" t="s">
        <v>0</v>
      </c>
      <c r="B1" s="1"/>
      <c r="C1" s="1"/>
      <c r="D1" s="1" t="s">
        <v>21</v>
      </c>
      <c r="E1" s="1"/>
      <c r="F1" s="1"/>
      <c r="G1" s="1" t="s">
        <v>20</v>
      </c>
    </row>
    <row r="2" spans="1:8" x14ac:dyDescent="0.25">
      <c r="A2" s="6">
        <f>B2/65536</f>
        <v>0</v>
      </c>
      <c r="B2" s="9">
        <v>0</v>
      </c>
      <c r="D2" s="6">
        <f>CLIP!G3</f>
        <v>0</v>
      </c>
      <c r="E2">
        <f>TRUNC(D2*65536)</f>
        <v>0</v>
      </c>
      <c r="G2" s="6">
        <f>MID!G4</f>
        <v>0</v>
      </c>
      <c r="H2" s="10">
        <f>TRUNC(G2*65536)</f>
        <v>0</v>
      </c>
    </row>
    <row r="3" spans="1:8" x14ac:dyDescent="0.25">
      <c r="A3" s="6">
        <f t="shared" ref="A3:A10" si="0">B3/65536</f>
        <v>0.125</v>
      </c>
      <c r="B3" s="9">
        <f>B2+8192</f>
        <v>8192</v>
      </c>
      <c r="D3" s="6">
        <f>CLIP!G4</f>
        <v>0</v>
      </c>
      <c r="E3">
        <f t="shared" ref="E3:E10" si="1">TRUNC(D3*65536)</f>
        <v>0</v>
      </c>
      <c r="G3" s="6">
        <f>MID!G5</f>
        <v>0</v>
      </c>
      <c r="H3" s="10">
        <f t="shared" ref="H3:H10" si="2">TRUNC(G3*65536)</f>
        <v>0</v>
      </c>
    </row>
    <row r="4" spans="1:8" x14ac:dyDescent="0.25">
      <c r="A4" s="6">
        <f t="shared" si="0"/>
        <v>0.25</v>
      </c>
      <c r="B4" s="9">
        <f t="shared" ref="B4:B9" si="3">B3+8192</f>
        <v>16384</v>
      </c>
      <c r="D4" s="6">
        <f>CLIP!G5</f>
        <v>1.2449717231435689E-2</v>
      </c>
      <c r="E4">
        <f t="shared" si="1"/>
        <v>815</v>
      </c>
      <c r="G4" s="6">
        <f>MID!G6</f>
        <v>1.1851967040853398E-2</v>
      </c>
      <c r="H4" s="10">
        <f t="shared" si="2"/>
        <v>776</v>
      </c>
    </row>
    <row r="5" spans="1:8" x14ac:dyDescent="0.25">
      <c r="A5" s="6">
        <f t="shared" si="0"/>
        <v>0.375</v>
      </c>
      <c r="B5" s="9">
        <f t="shared" si="3"/>
        <v>24576</v>
      </c>
      <c r="D5" s="6">
        <f>CLIP!G6</f>
        <v>0.17704143102619641</v>
      </c>
      <c r="E5">
        <f t="shared" si="1"/>
        <v>11602</v>
      </c>
      <c r="G5" s="6">
        <f>MID!G7</f>
        <v>0.16990069154655638</v>
      </c>
      <c r="H5" s="10">
        <f t="shared" si="2"/>
        <v>11134</v>
      </c>
    </row>
    <row r="6" spans="1:8" x14ac:dyDescent="0.25">
      <c r="A6" s="6">
        <f t="shared" si="0"/>
        <v>0.5</v>
      </c>
      <c r="B6" s="9">
        <f t="shared" si="3"/>
        <v>32768</v>
      </c>
      <c r="D6" s="6">
        <f>CLIP!G7</f>
        <v>0.34163314482095714</v>
      </c>
      <c r="E6">
        <f t="shared" si="1"/>
        <v>22389</v>
      </c>
      <c r="G6" s="6">
        <f>MID!G8</f>
        <v>0.33052002972491068</v>
      </c>
      <c r="H6" s="10">
        <f t="shared" si="2"/>
        <v>21660</v>
      </c>
    </row>
    <row r="7" spans="1:8" x14ac:dyDescent="0.25">
      <c r="A7" s="6">
        <f t="shared" si="0"/>
        <v>0.625</v>
      </c>
      <c r="B7" s="9">
        <f t="shared" si="3"/>
        <v>40960</v>
      </c>
      <c r="D7" s="6">
        <f>CLIP!G8</f>
        <v>0.50622485861571787</v>
      </c>
      <c r="E7">
        <f t="shared" si="1"/>
        <v>33175</v>
      </c>
      <c r="G7" s="6">
        <f>MID!G9</f>
        <v>0.49377321113628431</v>
      </c>
      <c r="H7" s="10">
        <f t="shared" si="2"/>
        <v>32359</v>
      </c>
    </row>
    <row r="8" spans="1:8" x14ac:dyDescent="0.25">
      <c r="A8" s="6">
        <f t="shared" si="0"/>
        <v>0.75</v>
      </c>
      <c r="B8" s="9">
        <f t="shared" si="3"/>
        <v>49152</v>
      </c>
      <c r="D8" s="6">
        <f>CLIP!G9</f>
        <v>0.67081657241047854</v>
      </c>
      <c r="E8">
        <f t="shared" si="1"/>
        <v>43962</v>
      </c>
      <c r="G8" s="6">
        <f>MID!G10</f>
        <v>0.65972555616619788</v>
      </c>
      <c r="H8" s="10">
        <f t="shared" si="2"/>
        <v>43235</v>
      </c>
    </row>
    <row r="9" spans="1:8" x14ac:dyDescent="0.25">
      <c r="A9" s="6">
        <f t="shared" si="0"/>
        <v>0.875</v>
      </c>
      <c r="B9" s="9">
        <f t="shared" si="3"/>
        <v>57344</v>
      </c>
      <c r="D9" s="6">
        <f>CLIP!G10</f>
        <v>0.83540828620523933</v>
      </c>
      <c r="E9">
        <f t="shared" si="1"/>
        <v>54749</v>
      </c>
      <c r="G9" s="6">
        <f>MID!G11</f>
        <v>0.82844456316790815</v>
      </c>
      <c r="H9" s="10">
        <f t="shared" si="2"/>
        <v>54292</v>
      </c>
    </row>
    <row r="10" spans="1:8" x14ac:dyDescent="0.25">
      <c r="A10" s="6">
        <f t="shared" si="0"/>
        <v>0.9999847412109375</v>
      </c>
      <c r="B10" s="9">
        <f>B9+8191</f>
        <v>65535</v>
      </c>
      <c r="D10" s="6">
        <f>CLIP!G11</f>
        <v>0.99997990823806215</v>
      </c>
      <c r="E10">
        <f t="shared" si="1"/>
        <v>65534</v>
      </c>
      <c r="G10" s="6">
        <f>MID!G12</f>
        <v>0.99997888216349584</v>
      </c>
      <c r="H10" s="10">
        <f t="shared" si="2"/>
        <v>65534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31873-3522-4D7A-B327-D8CBEEA5263C}">
  <dimension ref="A1:D10"/>
  <sheetViews>
    <sheetView workbookViewId="0">
      <selection activeCell="D25" sqref="D25"/>
    </sheetView>
  </sheetViews>
  <sheetFormatPr defaultRowHeight="15" x14ac:dyDescent="0.25"/>
  <cols>
    <col min="2" max="2" width="13.5703125" customWidth="1"/>
    <col min="3" max="3" width="3" customWidth="1"/>
    <col min="4" max="4" width="10.140625" customWidth="1"/>
  </cols>
  <sheetData>
    <row r="1" spans="1:4" x14ac:dyDescent="0.25">
      <c r="A1" s="2" t="s">
        <v>13</v>
      </c>
      <c r="B1" s="3">
        <f>D1/65536</f>
        <v>0.5</v>
      </c>
      <c r="D1" s="5">
        <v>32768</v>
      </c>
    </row>
    <row r="2" spans="1:4" x14ac:dyDescent="0.25">
      <c r="A2" s="2" t="s">
        <v>15</v>
      </c>
      <c r="B2" s="3">
        <f>D2/65536</f>
        <v>6.25E-2</v>
      </c>
      <c r="D2" s="5">
        <v>4096</v>
      </c>
    </row>
    <row r="3" spans="1:4" x14ac:dyDescent="0.25">
      <c r="A3" s="2" t="s">
        <v>14</v>
      </c>
      <c r="B3" s="3">
        <f>B2*1.4826</f>
        <v>9.2662499999999995E-2</v>
      </c>
      <c r="D3" s="4">
        <f t="shared" ref="D2:D10" si="0">TRUNC(B3*65536)</f>
        <v>6072</v>
      </c>
    </row>
    <row r="4" spans="1:4" x14ac:dyDescent="0.25">
      <c r="A4" s="2" t="s">
        <v>17</v>
      </c>
      <c r="B4" s="3">
        <v>0.25</v>
      </c>
      <c r="D4" s="4">
        <f t="shared" si="0"/>
        <v>16384</v>
      </c>
    </row>
    <row r="5" spans="1:4" x14ac:dyDescent="0.25">
      <c r="A5" s="2" t="s">
        <v>18</v>
      </c>
      <c r="B5" s="3">
        <v>-2.8</v>
      </c>
      <c r="D5" s="4">
        <f t="shared" si="0"/>
        <v>-183500</v>
      </c>
    </row>
    <row r="6" spans="1:4" x14ac:dyDescent="0.25">
      <c r="A6" s="2" t="s">
        <v>16</v>
      </c>
      <c r="B6" s="3">
        <f>IF(B1&lt;=0.5,0,1)</f>
        <v>0</v>
      </c>
      <c r="D6" s="4">
        <f t="shared" si="0"/>
        <v>0</v>
      </c>
    </row>
    <row r="7" spans="1:4" x14ac:dyDescent="0.25">
      <c r="A7" s="2" t="s">
        <v>1</v>
      </c>
      <c r="B7" s="3">
        <f>IF(B6=1,0,IF(B3=0,0,MIN(1,MAX(0,B1+B5*B3))))</f>
        <v>0.24054500000000001</v>
      </c>
      <c r="D7" s="4">
        <f t="shared" si="0"/>
        <v>15764</v>
      </c>
    </row>
    <row r="8" spans="1:4" x14ac:dyDescent="0.25">
      <c r="A8" s="2" t="s">
        <v>2</v>
      </c>
      <c r="B8" s="3">
        <f>IF(B6=0,1,IF(B3=1,0,MIN(1,MAX(0,B1-B5*B3))))</f>
        <v>1</v>
      </c>
      <c r="D8" s="4">
        <f t="shared" si="0"/>
        <v>65536</v>
      </c>
    </row>
    <row r="9" spans="1:4" x14ac:dyDescent="0.25">
      <c r="A9" s="2" t="s">
        <v>19</v>
      </c>
      <c r="B9" s="3">
        <f>IF(B6=0,B1-B7,B8-B1)</f>
        <v>0.25945499999999999</v>
      </c>
      <c r="D9" s="4">
        <f t="shared" si="0"/>
        <v>17003</v>
      </c>
    </row>
    <row r="10" spans="1:4" x14ac:dyDescent="0.25">
      <c r="A10" s="2" t="s">
        <v>7</v>
      </c>
      <c r="B10" s="3">
        <f>IF(B6=0,MID!G2,MID!G3)</f>
        <v>0.51244971723143573</v>
      </c>
      <c r="D10" s="4">
        <f t="shared" si="0"/>
        <v>33583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E1CE9-F585-4D77-9F55-3B75CAB5B4D8}">
  <dimension ref="A1:G11"/>
  <sheetViews>
    <sheetView workbookViewId="0">
      <selection activeCell="E37" sqref="E37"/>
    </sheetView>
  </sheetViews>
  <sheetFormatPr defaultRowHeight="15" x14ac:dyDescent="0.25"/>
  <cols>
    <col min="1" max="1" width="21.5703125" customWidth="1"/>
    <col min="2" max="5" width="10.7109375" customWidth="1"/>
    <col min="6" max="6" width="14.28515625" customWidth="1"/>
    <col min="7" max="7" width="10.7109375" customWidth="1"/>
  </cols>
  <sheetData>
    <row r="1" spans="1:7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7">
        <v>0.5</v>
      </c>
      <c r="B2" s="7">
        <v>0.2</v>
      </c>
      <c r="C2" s="7">
        <v>0.95</v>
      </c>
      <c r="D2" s="7">
        <f>IF(A2&lt;B2, 1,0)</f>
        <v>0</v>
      </c>
      <c r="E2" s="7">
        <f>IF(A2&gt;C2,1,0)</f>
        <v>0</v>
      </c>
      <c r="F2" s="8">
        <f>(A2-B2)/(C2-B2)</f>
        <v>0.39999999999999997</v>
      </c>
      <c r="G2" s="8">
        <f>IF(D2,0,IF(E2,1,F2))</f>
        <v>0.39999999999999997</v>
      </c>
    </row>
    <row r="3" spans="1:7" x14ac:dyDescent="0.25">
      <c r="A3" s="6">
        <f>display!A2</f>
        <v>0</v>
      </c>
      <c r="B3" s="6">
        <f>image_parameters!B$7</f>
        <v>0.24054500000000001</v>
      </c>
      <c r="C3" s="6">
        <f>image_parameters!B$8</f>
        <v>1</v>
      </c>
      <c r="D3" s="6">
        <f>IF(A3&lt;B3, 1,0)</f>
        <v>1</v>
      </c>
      <c r="E3" s="6">
        <f>IF(A3&gt;C3,1,0)</f>
        <v>0</v>
      </c>
      <c r="F3" s="6">
        <f>(A3-B3)/(C3-B3)</f>
        <v>-0.31673371035808573</v>
      </c>
      <c r="G3" s="6">
        <f>IF(D3,0,IF(E3,1,F3))</f>
        <v>0</v>
      </c>
    </row>
    <row r="4" spans="1:7" x14ac:dyDescent="0.25">
      <c r="A4" s="6">
        <f>display!A3</f>
        <v>0.125</v>
      </c>
      <c r="B4" s="6">
        <f>image_parameters!B$7</f>
        <v>0.24054500000000001</v>
      </c>
      <c r="C4" s="6">
        <f>image_parameters!B$8</f>
        <v>1</v>
      </c>
      <c r="D4" s="6">
        <f t="shared" ref="D4:D12" si="0">IF(A4&lt;B4, 1,0)</f>
        <v>1</v>
      </c>
      <c r="E4" s="6">
        <f t="shared" ref="E4:E12" si="1">IF(A4&gt;C4,1,0)</f>
        <v>0</v>
      </c>
      <c r="F4" s="6">
        <f t="shared" ref="F4:F12" si="2">(A4-B4)/(C4-B4)</f>
        <v>-0.15214199656332503</v>
      </c>
      <c r="G4" s="6">
        <f t="shared" ref="G4:G12" si="3">IF(D4,0,IF(E4,1,F4))</f>
        <v>0</v>
      </c>
    </row>
    <row r="5" spans="1:7" x14ac:dyDescent="0.25">
      <c r="A5" s="6">
        <f>display!A4</f>
        <v>0.25</v>
      </c>
      <c r="B5" s="6">
        <f>image_parameters!B$7</f>
        <v>0.24054500000000001</v>
      </c>
      <c r="C5" s="6">
        <f>image_parameters!B$8</f>
        <v>1</v>
      </c>
      <c r="D5" s="6">
        <f t="shared" si="0"/>
        <v>0</v>
      </c>
      <c r="E5" s="6">
        <f t="shared" si="1"/>
        <v>0</v>
      </c>
      <c r="F5" s="6">
        <f t="shared" si="2"/>
        <v>1.2449717231435689E-2</v>
      </c>
      <c r="G5" s="6">
        <f t="shared" si="3"/>
        <v>1.2449717231435689E-2</v>
      </c>
    </row>
    <row r="6" spans="1:7" x14ac:dyDescent="0.25">
      <c r="A6" s="6">
        <f>display!A5</f>
        <v>0.375</v>
      </c>
      <c r="B6" s="6">
        <f>image_parameters!B$7</f>
        <v>0.24054500000000001</v>
      </c>
      <c r="C6" s="6">
        <f>image_parameters!B$8</f>
        <v>1</v>
      </c>
      <c r="D6" s="6">
        <f t="shared" si="0"/>
        <v>0</v>
      </c>
      <c r="E6" s="6">
        <f t="shared" si="1"/>
        <v>0</v>
      </c>
      <c r="F6" s="6">
        <f t="shared" si="2"/>
        <v>0.17704143102619641</v>
      </c>
      <c r="G6" s="6">
        <f t="shared" si="3"/>
        <v>0.17704143102619641</v>
      </c>
    </row>
    <row r="7" spans="1:7" x14ac:dyDescent="0.25">
      <c r="A7" s="6">
        <f>display!A6</f>
        <v>0.5</v>
      </c>
      <c r="B7" s="6">
        <f>image_parameters!B$7</f>
        <v>0.24054500000000001</v>
      </c>
      <c r="C7" s="6">
        <f>image_parameters!B$8</f>
        <v>1</v>
      </c>
      <c r="D7" s="6">
        <f t="shared" si="0"/>
        <v>0</v>
      </c>
      <c r="E7" s="6">
        <f t="shared" si="1"/>
        <v>0</v>
      </c>
      <c r="F7" s="6">
        <f t="shared" si="2"/>
        <v>0.34163314482095714</v>
      </c>
      <c r="G7" s="6">
        <f t="shared" si="3"/>
        <v>0.34163314482095714</v>
      </c>
    </row>
    <row r="8" spans="1:7" x14ac:dyDescent="0.25">
      <c r="A8" s="6">
        <f>display!A7</f>
        <v>0.625</v>
      </c>
      <c r="B8" s="6">
        <f>image_parameters!B$7</f>
        <v>0.24054500000000001</v>
      </c>
      <c r="C8" s="6">
        <f>image_parameters!B$8</f>
        <v>1</v>
      </c>
      <c r="D8" s="6">
        <f t="shared" si="0"/>
        <v>0</v>
      </c>
      <c r="E8" s="6">
        <f t="shared" si="1"/>
        <v>0</v>
      </c>
      <c r="F8" s="6">
        <f t="shared" si="2"/>
        <v>0.50622485861571787</v>
      </c>
      <c r="G8" s="6">
        <f t="shared" si="3"/>
        <v>0.50622485861571787</v>
      </c>
    </row>
    <row r="9" spans="1:7" x14ac:dyDescent="0.25">
      <c r="A9" s="6">
        <f>display!A8</f>
        <v>0.75</v>
      </c>
      <c r="B9" s="6">
        <f>image_parameters!B$7</f>
        <v>0.24054500000000001</v>
      </c>
      <c r="C9" s="6">
        <f>image_parameters!B$8</f>
        <v>1</v>
      </c>
      <c r="D9" s="6">
        <f t="shared" si="0"/>
        <v>0</v>
      </c>
      <c r="E9" s="6">
        <f t="shared" si="1"/>
        <v>0</v>
      </c>
      <c r="F9" s="6">
        <f t="shared" si="2"/>
        <v>0.67081657241047854</v>
      </c>
      <c r="G9" s="6">
        <f t="shared" si="3"/>
        <v>0.67081657241047854</v>
      </c>
    </row>
    <row r="10" spans="1:7" x14ac:dyDescent="0.25">
      <c r="A10" s="6">
        <f>display!A9</f>
        <v>0.875</v>
      </c>
      <c r="B10" s="6">
        <f>image_parameters!B$7</f>
        <v>0.24054500000000001</v>
      </c>
      <c r="C10" s="6">
        <f>image_parameters!B$8</f>
        <v>1</v>
      </c>
      <c r="D10" s="6">
        <f t="shared" si="0"/>
        <v>0</v>
      </c>
      <c r="E10" s="6">
        <f t="shared" si="1"/>
        <v>0</v>
      </c>
      <c r="F10" s="6">
        <f t="shared" si="2"/>
        <v>0.83540828620523933</v>
      </c>
      <c r="G10" s="6">
        <f t="shared" si="3"/>
        <v>0.83540828620523933</v>
      </c>
    </row>
    <row r="11" spans="1:7" x14ac:dyDescent="0.25">
      <c r="A11" s="6">
        <f>display!A10</f>
        <v>0.9999847412109375</v>
      </c>
      <c r="B11" s="6">
        <f>image_parameters!B$7</f>
        <v>0.24054500000000001</v>
      </c>
      <c r="C11" s="6">
        <f>image_parameters!B$8</f>
        <v>1</v>
      </c>
      <c r="D11" s="6">
        <f t="shared" si="0"/>
        <v>0</v>
      </c>
      <c r="E11" s="6">
        <f t="shared" si="1"/>
        <v>0</v>
      </c>
      <c r="F11" s="6">
        <f t="shared" si="2"/>
        <v>0.99997990823806215</v>
      </c>
      <c r="G11" s="6">
        <f t="shared" si="3"/>
        <v>0.99997990823806215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147BE-9D7F-4115-BE11-6AD58ACB8E7C}">
  <dimension ref="A1:G12"/>
  <sheetViews>
    <sheetView workbookViewId="0">
      <selection activeCell="E36" sqref="E36"/>
    </sheetView>
  </sheetViews>
  <sheetFormatPr defaultRowHeight="15" x14ac:dyDescent="0.25"/>
  <cols>
    <col min="1" max="1" width="16" customWidth="1"/>
    <col min="2" max="5" width="10.7109375" customWidth="1"/>
    <col min="6" max="6" width="24.85546875" customWidth="1"/>
    <col min="7" max="7" width="13.140625" customWidth="1"/>
  </cols>
  <sheetData>
    <row r="1" spans="1:7" s="1" customFormat="1" x14ac:dyDescent="0.2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x14ac:dyDescent="0.25">
      <c r="A2" s="8">
        <f>image_parameters!B9</f>
        <v>0.25945499999999999</v>
      </c>
      <c r="B2" s="8">
        <f>image_parameters!B4</f>
        <v>0.25</v>
      </c>
      <c r="C2" s="8">
        <f>IF(A2=0,1,0)</f>
        <v>0</v>
      </c>
      <c r="D2" s="8">
        <f>IF(A2=B2,1,0)</f>
        <v>0</v>
      </c>
      <c r="E2" s="8">
        <f>IF(A2=1,1,0)</f>
        <v>0</v>
      </c>
      <c r="F2" s="8">
        <f>((B2-1)*A2)/((2*B2-1)*A2-B2)</f>
        <v>0.51244971723143573</v>
      </c>
      <c r="G2" s="8">
        <f>IF(C2,0,IF(D2,0.5,IF(E2,1,F2)))</f>
        <v>0.51244971723143573</v>
      </c>
    </row>
    <row r="3" spans="1:7" x14ac:dyDescent="0.25">
      <c r="A3" s="8">
        <f>image_parameters!B4</f>
        <v>0.25</v>
      </c>
      <c r="B3" s="8">
        <f>image_parameters!B9</f>
        <v>0.25945499999999999</v>
      </c>
      <c r="C3" s="8">
        <f>IF(A3=0,1,0)</f>
        <v>0</v>
      </c>
      <c r="D3" s="8">
        <f>IF(A3=B3,1,0)</f>
        <v>0</v>
      </c>
      <c r="E3" s="8">
        <f>IF(A3=1,1,0)</f>
        <v>0</v>
      </c>
      <c r="F3" s="8">
        <f>((B3-1)*A3)/((2*B3-1)*A3-B3)</f>
        <v>0.48755028276856432</v>
      </c>
      <c r="G3" s="8">
        <f>IF(C3,0,IF(D3,0.5,IF(E3,1,F3)))</f>
        <v>0.48755028276856432</v>
      </c>
    </row>
    <row r="4" spans="1:7" x14ac:dyDescent="0.25">
      <c r="A4" s="6">
        <f>CLIP!G3</f>
        <v>0</v>
      </c>
      <c r="B4" s="6">
        <f>image_parameters!B$10</f>
        <v>0.51244971723143573</v>
      </c>
      <c r="C4" s="6">
        <f t="shared" ref="C4:C12" si="0">IF(A4=0,1,0)</f>
        <v>1</v>
      </c>
      <c r="D4" s="6">
        <f t="shared" ref="D4:D12" si="1">IF(A4=B4,1,0)</f>
        <v>0</v>
      </c>
      <c r="E4" s="6">
        <f t="shared" ref="E4:E12" si="2">IF(A4=1,1,0)</f>
        <v>0</v>
      </c>
      <c r="F4" s="6">
        <f t="shared" ref="F4:F12" si="3">((B4-1)*A4)/((2*B4-1)*A4-B4)</f>
        <v>0</v>
      </c>
      <c r="G4" s="6">
        <f t="shared" ref="G4:G12" si="4">IF(C4,0,IF(D4,0.5,IF(E4,1,F4)))</f>
        <v>0</v>
      </c>
    </row>
    <row r="5" spans="1:7" x14ac:dyDescent="0.25">
      <c r="A5" s="6">
        <f>CLIP!G4</f>
        <v>0</v>
      </c>
      <c r="B5" s="6">
        <f>image_parameters!B$10</f>
        <v>0.51244971723143573</v>
      </c>
      <c r="C5" s="6">
        <f t="shared" si="0"/>
        <v>1</v>
      </c>
      <c r="D5" s="6">
        <f t="shared" si="1"/>
        <v>0</v>
      </c>
      <c r="E5" s="6">
        <f t="shared" si="2"/>
        <v>0</v>
      </c>
      <c r="F5" s="6">
        <f t="shared" si="3"/>
        <v>0</v>
      </c>
      <c r="G5" s="6">
        <f t="shared" si="4"/>
        <v>0</v>
      </c>
    </row>
    <row r="6" spans="1:7" x14ac:dyDescent="0.25">
      <c r="A6" s="6">
        <f>CLIP!G5</f>
        <v>1.2449717231435689E-2</v>
      </c>
      <c r="B6" s="6">
        <f>image_parameters!B$10</f>
        <v>0.51244971723143573</v>
      </c>
      <c r="C6" s="6">
        <f t="shared" si="0"/>
        <v>0</v>
      </c>
      <c r="D6" s="6">
        <f t="shared" si="1"/>
        <v>0</v>
      </c>
      <c r="E6" s="6">
        <f t="shared" si="2"/>
        <v>0</v>
      </c>
      <c r="F6" s="6">
        <f t="shared" si="3"/>
        <v>1.1851967040853398E-2</v>
      </c>
      <c r="G6" s="6">
        <f t="shared" si="4"/>
        <v>1.1851967040853398E-2</v>
      </c>
    </row>
    <row r="7" spans="1:7" x14ac:dyDescent="0.25">
      <c r="A7" s="6">
        <f>CLIP!G6</f>
        <v>0.17704143102619641</v>
      </c>
      <c r="B7" s="6">
        <f>image_parameters!B$10</f>
        <v>0.51244971723143573</v>
      </c>
      <c r="C7" s="6">
        <f t="shared" si="0"/>
        <v>0</v>
      </c>
      <c r="D7" s="6">
        <f t="shared" si="1"/>
        <v>0</v>
      </c>
      <c r="E7" s="6">
        <f t="shared" si="2"/>
        <v>0</v>
      </c>
      <c r="F7" s="6">
        <f t="shared" si="3"/>
        <v>0.16990069154655638</v>
      </c>
      <c r="G7" s="6">
        <f t="shared" si="4"/>
        <v>0.16990069154655638</v>
      </c>
    </row>
    <row r="8" spans="1:7" x14ac:dyDescent="0.25">
      <c r="A8" s="6">
        <f>CLIP!G7</f>
        <v>0.34163314482095714</v>
      </c>
      <c r="B8" s="6">
        <f>image_parameters!B$10</f>
        <v>0.51244971723143573</v>
      </c>
      <c r="C8" s="6">
        <f t="shared" si="0"/>
        <v>0</v>
      </c>
      <c r="D8" s="6">
        <f t="shared" si="1"/>
        <v>0</v>
      </c>
      <c r="E8" s="6">
        <f t="shared" si="2"/>
        <v>0</v>
      </c>
      <c r="F8" s="6">
        <f t="shared" si="3"/>
        <v>0.33052002972491068</v>
      </c>
      <c r="G8" s="6">
        <f t="shared" si="4"/>
        <v>0.33052002972491068</v>
      </c>
    </row>
    <row r="9" spans="1:7" x14ac:dyDescent="0.25">
      <c r="A9" s="6">
        <f>CLIP!G8</f>
        <v>0.50622485861571787</v>
      </c>
      <c r="B9" s="6">
        <f>image_parameters!B$10</f>
        <v>0.51244971723143573</v>
      </c>
      <c r="C9" s="6">
        <f t="shared" si="0"/>
        <v>0</v>
      </c>
      <c r="D9" s="6">
        <f t="shared" si="1"/>
        <v>0</v>
      </c>
      <c r="E9" s="6">
        <f t="shared" si="2"/>
        <v>0</v>
      </c>
      <c r="F9" s="6">
        <f t="shared" si="3"/>
        <v>0.49377321113628431</v>
      </c>
      <c r="G9" s="6">
        <f t="shared" si="4"/>
        <v>0.49377321113628431</v>
      </c>
    </row>
    <row r="10" spans="1:7" x14ac:dyDescent="0.25">
      <c r="A10" s="6">
        <f>CLIP!G9</f>
        <v>0.67081657241047854</v>
      </c>
      <c r="B10" s="6">
        <f>image_parameters!B$10</f>
        <v>0.51244971723143573</v>
      </c>
      <c r="C10" s="6">
        <f t="shared" si="0"/>
        <v>0</v>
      </c>
      <c r="D10" s="6">
        <f t="shared" si="1"/>
        <v>0</v>
      </c>
      <c r="E10" s="6">
        <f t="shared" si="2"/>
        <v>0</v>
      </c>
      <c r="F10" s="6">
        <f t="shared" si="3"/>
        <v>0.65972555616619788</v>
      </c>
      <c r="G10" s="6">
        <f t="shared" si="4"/>
        <v>0.65972555616619788</v>
      </c>
    </row>
    <row r="11" spans="1:7" x14ac:dyDescent="0.25">
      <c r="A11" s="6">
        <f>CLIP!G10</f>
        <v>0.83540828620523933</v>
      </c>
      <c r="B11" s="6">
        <f>image_parameters!B$10</f>
        <v>0.51244971723143573</v>
      </c>
      <c r="C11" s="6">
        <f t="shared" si="0"/>
        <v>0</v>
      </c>
      <c r="D11" s="6">
        <f t="shared" si="1"/>
        <v>0</v>
      </c>
      <c r="E11" s="6">
        <f t="shared" si="2"/>
        <v>0</v>
      </c>
      <c r="F11" s="6">
        <f t="shared" si="3"/>
        <v>0.82844456316790815</v>
      </c>
      <c r="G11" s="6">
        <f t="shared" si="4"/>
        <v>0.82844456316790815</v>
      </c>
    </row>
    <row r="12" spans="1:7" x14ac:dyDescent="0.25">
      <c r="A12" s="6">
        <f>CLIP!G11</f>
        <v>0.99997990823806215</v>
      </c>
      <c r="B12" s="6">
        <f>image_parameters!B$10</f>
        <v>0.51244971723143573</v>
      </c>
      <c r="C12" s="6">
        <f t="shared" si="0"/>
        <v>0</v>
      </c>
      <c r="D12" s="6">
        <f t="shared" si="1"/>
        <v>0</v>
      </c>
      <c r="E12" s="6">
        <f t="shared" si="2"/>
        <v>0</v>
      </c>
      <c r="F12" s="6">
        <f t="shared" si="3"/>
        <v>0.99997888216349584</v>
      </c>
      <c r="G12" s="6">
        <f t="shared" si="4"/>
        <v>0.99997888216349584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display</vt:lpstr>
      <vt:lpstr>image_parameters</vt:lpstr>
      <vt:lpstr>CLIP</vt:lpstr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Read</dc:creator>
  <cp:lastModifiedBy>Andrew Read</cp:lastModifiedBy>
  <dcterms:created xsi:type="dcterms:W3CDTF">2026-02-20T07:39:16Z</dcterms:created>
  <dcterms:modified xsi:type="dcterms:W3CDTF">2026-02-20T10:02:04Z</dcterms:modified>
</cp:coreProperties>
</file>